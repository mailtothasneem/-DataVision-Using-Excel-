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0147D50C-8DA2-4A04-B589-C1842E8640C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6" i="1" l="1"/>
  <c r="Q5" i="1"/>
  <c r="S5" i="1"/>
  <c r="V11" i="1"/>
  <c r="V8" i="1"/>
  <c r="V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" i="1"/>
  <c r="I2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  <c r="H2" i="1"/>
  <c r="S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O10" i="1"/>
  <c r="O6" i="1"/>
</calcChain>
</file>

<file path=xl/sharedStrings.xml><?xml version="1.0" encoding="utf-8"?>
<sst xmlns="http://schemas.openxmlformats.org/spreadsheetml/2006/main" count="175" uniqueCount="126">
  <si>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</si>
  <si>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</si>
  <si>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</si>
  <si>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</si>
  <si>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</si>
  <si>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</si>
  <si>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</si>
  <si>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</si>
  <si>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</si>
  <si>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</si>
  <si>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Question No: 1</t>
  </si>
  <si>
    <t>Question No : 2</t>
  </si>
  <si>
    <t>Question  No : 3</t>
  </si>
  <si>
    <t>Question No: 4</t>
  </si>
  <si>
    <t>Question No :5</t>
  </si>
  <si>
    <t>28-JAN-US</t>
  </si>
  <si>
    <t>Laptop</t>
  </si>
  <si>
    <t>Dell</t>
  </si>
  <si>
    <t>Electronics</t>
  </si>
  <si>
    <t>Sum,Count,Average</t>
  </si>
  <si>
    <t>Maximum and Minimum Values</t>
  </si>
  <si>
    <t>Logical Function-IF</t>
  </si>
  <si>
    <r>
      <rPr>
        <b/>
        <sz val="12"/>
        <color rgb="FF000000"/>
        <rFont val="Aptos Narrow"/>
        <scheme val="minor"/>
      </rPr>
      <t>Conditional Functions</t>
    </r>
    <r>
      <rPr>
        <sz val="11"/>
        <color rgb="FF000000"/>
        <rFont val="Aptos Narrow"/>
        <scheme val="minor"/>
      </rPr>
      <t>-</t>
    </r>
    <r>
      <rPr>
        <b/>
        <sz val="11"/>
        <color rgb="FF000000"/>
        <rFont val="Aptos Narrow"/>
        <scheme val="minor"/>
      </rPr>
      <t>SUMIF and COUNTIF</t>
    </r>
  </si>
  <si>
    <t>Text Formatting - Left,Right,Mid</t>
  </si>
  <si>
    <t>15-FEB-US</t>
  </si>
  <si>
    <t>Sneakers</t>
  </si>
  <si>
    <t>Nike</t>
  </si>
  <si>
    <t>Fashion</t>
  </si>
  <si>
    <t>Column G is Price Range -Created</t>
  </si>
  <si>
    <t>Total Price of products in the Electronisc category.</t>
  </si>
  <si>
    <t>03-MAR-US</t>
  </si>
  <si>
    <t>Coffee Maker</t>
  </si>
  <si>
    <t>Keurig</t>
  </si>
  <si>
    <t>Kitchen</t>
  </si>
  <si>
    <r>
      <rPr>
        <sz val="10"/>
        <color rgb="FF000000"/>
        <rFont val="Arial"/>
      </rPr>
      <t>Calculating the</t>
    </r>
    <r>
      <rPr>
        <b/>
        <sz val="10"/>
        <color rgb="FF000000"/>
        <rFont val="Arial"/>
      </rPr>
      <t xml:space="preserve"> total price of the products </t>
    </r>
    <r>
      <rPr>
        <sz val="10"/>
        <color rgb="FF000000"/>
        <rFont val="Arial"/>
      </rPr>
      <t>in the dataset.</t>
    </r>
  </si>
  <si>
    <r>
      <t xml:space="preserve">The formula that finds the  </t>
    </r>
    <r>
      <rPr>
        <b/>
        <sz val="11"/>
        <color theme="1"/>
        <rFont val="Aptos Narrow"/>
        <scheme val="minor"/>
      </rPr>
      <t>minimum price</t>
    </r>
    <r>
      <rPr>
        <sz val="11"/>
        <color theme="1"/>
        <rFont val="Aptos Narrow"/>
        <scheme val="minor"/>
      </rPr>
      <t xml:space="preserve"> among all products.</t>
    </r>
  </si>
  <si>
    <t>Formula=IF(D2&gt;=500,"High Price",IF(D2&lt;500,"Standard Price"))</t>
  </si>
  <si>
    <t>Formula=SUMIF(F2:F35,"Electronics",D2:D35)</t>
  </si>
  <si>
    <t>DAY Column -Left Function Formula=LEFT(A2,2)</t>
  </si>
  <si>
    <t>11-APR-US</t>
  </si>
  <si>
    <t>Smartphone</t>
  </si>
  <si>
    <t>Samsung</t>
  </si>
  <si>
    <t>Formula =SUM(D2:D35)</t>
  </si>
  <si>
    <t>Formula=MIN(D2:D35)</t>
  </si>
  <si>
    <t>22-MAY-US</t>
  </si>
  <si>
    <t>Backpack</t>
  </si>
  <si>
    <t>North Face</t>
  </si>
  <si>
    <t>Outdoor</t>
  </si>
  <si>
    <t>07-JUN-UK</t>
  </si>
  <si>
    <t>Headphones</t>
  </si>
  <si>
    <t>Sony</t>
  </si>
  <si>
    <r>
      <rPr>
        <sz val="11"/>
        <color rgb="FF000000"/>
        <rFont val="Aptos Narrow"/>
        <scheme val="minor"/>
      </rPr>
      <t xml:space="preserve">Using COUNTIF function to determine the </t>
    </r>
    <r>
      <rPr>
        <b/>
        <sz val="11"/>
        <color rgb="FF000000"/>
        <rFont val="Aptos Narrow"/>
        <scheme val="minor"/>
      </rPr>
      <t>number of product with a price less than $100.</t>
    </r>
  </si>
  <si>
    <t>COUNTRY CODE  Column -Right Function Formula =RIGHT(A2,2)</t>
  </si>
  <si>
    <t>19-JUL-UK</t>
  </si>
  <si>
    <t>T-shirt</t>
  </si>
  <si>
    <t>Adidas</t>
  </si>
  <si>
    <r>
      <rPr>
        <sz val="10"/>
        <color rgb="FF000000"/>
        <rFont val="Arial"/>
      </rPr>
      <t xml:space="preserve">Determining </t>
    </r>
    <r>
      <rPr>
        <b/>
        <sz val="10"/>
        <color rgb="FF000000"/>
        <rFont val="Arial"/>
      </rPr>
      <t>how many products exist in the dataset.</t>
    </r>
  </si>
  <si>
    <r>
      <rPr>
        <sz val="11"/>
        <color rgb="FF000000"/>
        <rFont val="Aptos Narrow"/>
        <scheme val="minor"/>
      </rPr>
      <t xml:space="preserve">The formula that finds the </t>
    </r>
    <r>
      <rPr>
        <b/>
        <sz val="11"/>
        <color rgb="FF000000"/>
        <rFont val="Aptos Narrow"/>
        <scheme val="minor"/>
      </rPr>
      <t xml:space="preserve"> maximum price </t>
    </r>
    <r>
      <rPr>
        <sz val="11"/>
        <color rgb="FF000000"/>
        <rFont val="Aptos Narrow"/>
        <scheme val="minor"/>
      </rPr>
      <t>among all products.</t>
    </r>
  </si>
  <si>
    <t>Formula=COUNTIF(D2:D35,"&lt;100")</t>
  </si>
  <si>
    <t>23-AUG-UK</t>
  </si>
  <si>
    <t>Blender</t>
  </si>
  <si>
    <t>Ninja</t>
  </si>
  <si>
    <t>Formula =COUNTA(B2:B35)</t>
  </si>
  <si>
    <t>Formula=MAX(D2:D35)</t>
  </si>
  <si>
    <t>05-SEP-UK</t>
  </si>
  <si>
    <t>Tablet</t>
  </si>
  <si>
    <t>Apple</t>
  </si>
  <si>
    <t>MONTH Column -Mid Function Formula=MID(A2,4,3)</t>
  </si>
  <si>
    <t>14-OCT-UK</t>
  </si>
  <si>
    <t>Hiking Boots</t>
  </si>
  <si>
    <t>Timberland</t>
  </si>
  <si>
    <t>17-JUN-IN</t>
  </si>
  <si>
    <t>HP</t>
  </si>
  <si>
    <r>
      <rPr>
        <sz val="10"/>
        <color rgb="FF000000"/>
        <rFont val="Arial"/>
      </rPr>
      <t xml:space="preserve">Calculating the </t>
    </r>
    <r>
      <rPr>
        <b/>
        <sz val="10"/>
        <color rgb="FF000000"/>
        <rFont val="Arial"/>
      </rPr>
      <t>average price of the product.</t>
    </r>
  </si>
  <si>
    <t>25-NOV-AU</t>
  </si>
  <si>
    <t>Formula =AVERAGE(D2:D35)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</si>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</sst>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&quot;$&quot;#,##0.00"/>
  </numFmts>
  <fonts count="25">
    <font>
      <sz val="11"/>
      <color theme="1"/>
      <name val="Aptos Narrow"/>
      <family val="2"/>
      <scheme val="minor"/>
    </font>
    <font>
      <b/>
      <sz val="10"/>
      <color rgb="FF000000"/>
      <name val="Arial"/>
      <charset val="1"/>
    </font>
    <font>
      <sz val="10"/>
      <color theme="1"/>
      <name val="Arial"/>
      <charset val="1"/>
    </font>
    <font>
      <sz val="10"/>
      <color rgb="FF000000"/>
      <name val="Arial"/>
      <charset val="1"/>
    </font>
    <font>
      <b/>
      <i/>
      <sz val="10"/>
      <color theme="6" tint="-0.499984740745262"/>
      <name val="Arial"/>
      <charset val="1"/>
    </font>
    <font>
      <b/>
      <i/>
      <sz val="12"/>
      <color rgb="FF2A6099"/>
      <name val="Arial"/>
      <charset val="1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12"/>
      <color theme="1"/>
      <name val="Aptos Narrow"/>
      <family val="2"/>
      <scheme val="minor"/>
    </font>
    <font>
      <b/>
      <sz val="14"/>
      <color rgb="FF000000"/>
      <name val="Arial"/>
      <charset val="1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4" tint="0.39997558519241921"/>
      <name val="Aptos Narrow"/>
      <family val="2"/>
      <scheme val="minor"/>
    </font>
    <font>
      <b/>
      <sz val="10"/>
      <color theme="1"/>
      <name val="Arial"/>
      <charset val="1"/>
    </font>
    <font>
      <b/>
      <sz val="12"/>
      <color rgb="FF000000"/>
      <name val="Aptos Narrow"/>
      <scheme val="minor"/>
    </font>
    <font>
      <sz val="12"/>
      <color theme="1"/>
      <name val="Aptos Narrow"/>
      <charset val="1"/>
    </font>
    <font>
      <b/>
      <sz val="11"/>
      <color theme="1"/>
      <name val="Arial"/>
      <charset val="1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2" fillId="0" borderId="0" xfId="0" applyFont="1" applyAlignment="1">
      <alignment wrapText="1"/>
    </xf>
    <xf numFmtId="6" fontId="1" fillId="4" borderId="0" xfId="0" applyNumberFormat="1" applyFont="1" applyFill="1" applyAlignment="1">
      <alignment wrapText="1"/>
    </xf>
    <xf numFmtId="0" fontId="1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5" borderId="1" xfId="0" applyFont="1" applyFill="1" applyBorder="1" applyAlignment="1">
      <alignment horizontal="left"/>
    </xf>
    <xf numFmtId="0" fontId="0" fillId="0" borderId="2" xfId="0" applyBorder="1"/>
    <xf numFmtId="0" fontId="14" fillId="0" borderId="2" xfId="0" applyFont="1" applyBorder="1"/>
    <xf numFmtId="164" fontId="0" fillId="0" borderId="2" xfId="0" applyNumberFormat="1" applyBorder="1" applyAlignment="1">
      <alignment vertical="center"/>
    </xf>
    <xf numFmtId="164" fontId="0" fillId="0" borderId="4" xfId="0" applyNumberFormat="1" applyBorder="1"/>
    <xf numFmtId="0" fontId="15" fillId="6" borderId="2" xfId="0" applyFont="1" applyFill="1" applyBorder="1" applyAlignment="1">
      <alignment horizontal="center"/>
    </xf>
    <xf numFmtId="0" fontId="10" fillId="0" borderId="2" xfId="0" applyFont="1" applyBorder="1"/>
    <xf numFmtId="0" fontId="16" fillId="7" borderId="0" xfId="0" applyFont="1" applyFill="1"/>
    <xf numFmtId="0" fontId="12" fillId="8" borderId="1" xfId="0" applyFont="1" applyFill="1" applyBorder="1"/>
    <xf numFmtId="0" fontId="6" fillId="8" borderId="3" xfId="0" applyFont="1" applyFill="1" applyBorder="1"/>
    <xf numFmtId="0" fontId="0" fillId="0" borderId="2" xfId="0" applyBorder="1" applyAlignment="1">
      <alignment wrapText="1"/>
    </xf>
    <xf numFmtId="0" fontId="13" fillId="0" borderId="3" xfId="0" applyFont="1" applyBorder="1"/>
    <xf numFmtId="0" fontId="0" fillId="0" borderId="5" xfId="0" applyBorder="1"/>
    <xf numFmtId="0" fontId="6" fillId="8" borderId="5" xfId="0" applyFont="1" applyFill="1" applyBorder="1" applyAlignment="1">
      <alignment wrapText="1"/>
    </xf>
    <xf numFmtId="0" fontId="7" fillId="8" borderId="5" xfId="0" applyFont="1" applyFill="1" applyBorder="1"/>
    <xf numFmtId="0" fontId="18" fillId="0" borderId="5" xfId="0" applyFont="1" applyBorder="1"/>
    <xf numFmtId="0" fontId="0" fillId="0" borderId="5" xfId="0" applyFont="1" applyBorder="1"/>
    <xf numFmtId="0" fontId="12" fillId="9" borderId="5" xfId="0" applyFont="1" applyFill="1" applyBorder="1"/>
    <xf numFmtId="165" fontId="1" fillId="4" borderId="0" xfId="0" applyNumberFormat="1" applyFont="1" applyFill="1" applyAlignment="1">
      <alignment wrapText="1"/>
    </xf>
    <xf numFmtId="0" fontId="20" fillId="6" borderId="2" xfId="0" applyFont="1" applyFill="1" applyBorder="1" applyAlignment="1">
      <alignment wrapText="1"/>
    </xf>
    <xf numFmtId="0" fontId="6" fillId="6" borderId="2" xfId="0" applyFont="1" applyFill="1" applyBorder="1" applyAlignment="1">
      <alignment wrapText="1"/>
    </xf>
    <xf numFmtId="165" fontId="0" fillId="0" borderId="5" xfId="0" applyNumberFormat="1" applyBorder="1"/>
    <xf numFmtId="0" fontId="23" fillId="10" borderId="5" xfId="0" applyFont="1" applyFill="1" applyBorder="1"/>
    <xf numFmtId="0" fontId="22" fillId="10" borderId="5" xfId="0" applyFont="1" applyFill="1" applyBorder="1" applyAlignment="1">
      <alignment wrapText="1"/>
    </xf>
    <xf numFmtId="0" fontId="13" fillId="0" borderId="5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24" fillId="11" borderId="5" xfId="0" applyFont="1" applyFill="1" applyBorder="1"/>
    <xf numFmtId="0" fontId="19" fillId="9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2" xfId="0" applyFont="1" applyBorder="1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charset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E9474-94A9-4616-84AC-546B8F4A0953}" name="Table1" displayName="Table1" ref="M1:M14" totalsRowShown="0" headerRowDxfId="0">
  <autoFilter ref="M1:M14" xr:uid="{505E9474-94A9-4616-84AC-546B8F4A0953}"/>
  <tableColumns count="1">
    <tableColumn id="1" xr3:uid="{04AB52D1-6A39-43D0-9802-F5F850D084C4}" name="Question No: 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topLeftCell="M1" workbookViewId="0">
      <selection activeCell="Q11" sqref="Q11"/>
    </sheetView>
  </sheetViews>
  <sheetFormatPr defaultRowHeight="15"/>
  <cols>
    <col min="1" max="1" width="10.85546875" bestFit="1" customWidth="1"/>
    <col min="2" max="2" width="13.7109375" bestFit="1" customWidth="1"/>
    <col min="3" max="3" width="11.85546875" bestFit="1" customWidth="1"/>
    <col min="6" max="6" width="10.85546875" bestFit="1" customWidth="1"/>
    <col min="7" max="7" width="24.42578125" bestFit="1" customWidth="1"/>
    <col min="8" max="10" width="22.85546875" style="41" customWidth="1"/>
    <col min="11" max="12" width="22.85546875" customWidth="1"/>
    <col min="13" max="13" width="52.7109375" customWidth="1"/>
    <col min="15" max="15" width="45.85546875" customWidth="1"/>
    <col min="17" max="17" width="42.85546875" customWidth="1"/>
    <col min="19" max="19" width="63.42578125" customWidth="1"/>
    <col min="22" max="22" width="61.7109375" customWidth="1"/>
  </cols>
  <sheetData>
    <row r="1" spans="1:22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6</v>
      </c>
      <c r="H1" s="39" t="s">
        <v>7</v>
      </c>
      <c r="I1" s="39" t="s">
        <v>8</v>
      </c>
      <c r="J1" s="39" t="s">
        <v>9</v>
      </c>
      <c r="K1" s="2"/>
      <c r="L1" s="2"/>
      <c r="M1" s="11" t="s">
        <v>10</v>
      </c>
      <c r="O1" s="12" t="s">
        <v>11</v>
      </c>
      <c r="Q1" s="20" t="s">
        <v>12</v>
      </c>
      <c r="S1" s="29" t="s">
        <v>13</v>
      </c>
      <c r="V1" s="38" t="s">
        <v>14</v>
      </c>
    </row>
    <row r="2" spans="1:22" ht="18.75">
      <c r="A2" s="3" t="s">
        <v>15</v>
      </c>
      <c r="B2" s="3" t="s">
        <v>16</v>
      </c>
      <c r="C2" s="3" t="s">
        <v>17</v>
      </c>
      <c r="D2" s="3">
        <v>1000</v>
      </c>
      <c r="E2" s="3">
        <v>30</v>
      </c>
      <c r="F2" s="3" t="s">
        <v>18</v>
      </c>
      <c r="G2" s="2" t="str">
        <f>IF(D2&gt;=500,"High Price","Standard Price")</f>
        <v>High Price</v>
      </c>
      <c r="H2" s="40" t="str">
        <f>LEFT(A2,2)</f>
        <v>28</v>
      </c>
      <c r="I2" s="40" t="str">
        <f>RIGHT(A2,2)</f>
        <v>US</v>
      </c>
      <c r="J2" s="40" t="str">
        <f>MID(A2,4,3)</f>
        <v>JAN</v>
      </c>
      <c r="K2" s="2"/>
      <c r="L2" s="2"/>
      <c r="M2" s="9" t="s">
        <v>19</v>
      </c>
      <c r="O2" s="17" t="s">
        <v>20</v>
      </c>
      <c r="Q2" s="13" t="s">
        <v>21</v>
      </c>
      <c r="S2" s="25" t="s">
        <v>22</v>
      </c>
      <c r="V2" s="34" t="s">
        <v>23</v>
      </c>
    </row>
    <row r="3" spans="1:22" ht="15.75">
      <c r="A3" s="4" t="s">
        <v>24</v>
      </c>
      <c r="B3" s="4" t="s">
        <v>25</v>
      </c>
      <c r="C3" s="4" t="s">
        <v>26</v>
      </c>
      <c r="D3" s="4">
        <v>80</v>
      </c>
      <c r="E3" s="4">
        <v>15</v>
      </c>
      <c r="F3" s="4" t="s">
        <v>27</v>
      </c>
      <c r="G3" s="2" t="str">
        <f t="shared" ref="G3:G35" si="0">IF(D3&gt;=500,"High Price","Standard Price")</f>
        <v>Standard Price</v>
      </c>
      <c r="H3" s="40" t="str">
        <f>LEFT(A3,2)</f>
        <v>15</v>
      </c>
      <c r="I3" s="40" t="str">
        <f>RIGHT(A3,2)</f>
        <v>US</v>
      </c>
      <c r="J3" s="40" t="str">
        <f>MID(A3,4,3)</f>
        <v>FEB</v>
      </c>
      <c r="K3" s="2"/>
      <c r="L3" s="2"/>
      <c r="M3" s="5"/>
      <c r="O3" s="18"/>
      <c r="Q3" s="21" t="s">
        <v>28</v>
      </c>
      <c r="S3" s="26" t="s">
        <v>29</v>
      </c>
      <c r="V3" s="24"/>
    </row>
    <row r="4" spans="1:22" ht="29.25">
      <c r="A4" s="3" t="s">
        <v>30</v>
      </c>
      <c r="B4" s="3" t="s">
        <v>31</v>
      </c>
      <c r="C4" s="3" t="s">
        <v>32</v>
      </c>
      <c r="D4" s="3">
        <v>130</v>
      </c>
      <c r="E4" s="3">
        <v>40</v>
      </c>
      <c r="F4" s="3" t="s">
        <v>33</v>
      </c>
      <c r="G4" s="2" t="str">
        <f t="shared" si="0"/>
        <v>Standard Price</v>
      </c>
      <c r="H4" s="40" t="str">
        <f t="shared" ref="H4:H35" si="1">LEFT(A4,2)</f>
        <v>03</v>
      </c>
      <c r="I4" s="40" t="str">
        <f t="shared" ref="I4:I35" si="2">RIGHT(A4,2)</f>
        <v>US</v>
      </c>
      <c r="J4" s="40" t="str">
        <f t="shared" ref="J4:J35" si="3">MID(A4,4,3)</f>
        <v>MAR</v>
      </c>
      <c r="K4" s="2"/>
      <c r="L4" s="2"/>
      <c r="M4" s="10" t="s">
        <v>34</v>
      </c>
      <c r="O4" s="31" t="s">
        <v>35</v>
      </c>
      <c r="Q4" s="22" t="s">
        <v>36</v>
      </c>
      <c r="S4" s="27" t="s">
        <v>37</v>
      </c>
      <c r="V4" s="35" t="s">
        <v>38</v>
      </c>
    </row>
    <row r="5" spans="1:22" ht="29.25">
      <c r="A5" s="4" t="s">
        <v>39</v>
      </c>
      <c r="B5" s="4" t="s">
        <v>40</v>
      </c>
      <c r="C5" s="4" t="s">
        <v>41</v>
      </c>
      <c r="D5" s="4">
        <v>900</v>
      </c>
      <c r="E5" s="4">
        <v>25</v>
      </c>
      <c r="F5" s="4" t="s">
        <v>18</v>
      </c>
      <c r="G5" s="2" t="str">
        <f t="shared" si="0"/>
        <v>High Price</v>
      </c>
      <c r="H5" s="40" t="str">
        <f t="shared" si="1"/>
        <v>11</v>
      </c>
      <c r="I5" s="40" t="str">
        <f t="shared" si="2"/>
        <v>US</v>
      </c>
      <c r="J5" s="40" t="str">
        <f t="shared" si="3"/>
        <v>APR</v>
      </c>
      <c r="K5" s="2"/>
      <c r="L5" s="2"/>
      <c r="M5" s="8" t="s">
        <v>42</v>
      </c>
      <c r="O5" s="14" t="s">
        <v>43</v>
      </c>
      <c r="Q5" s="42" t="str">
        <f>IF(D2&gt;=500,"High Price",IF(D2&lt;500,"Standard Price"))</f>
        <v>High Price</v>
      </c>
      <c r="S5" s="33">
        <f>SUMIF(F2:F35,"Electronics",D2:D35)</f>
        <v>8050</v>
      </c>
      <c r="V5" s="36" t="str">
        <f>LEFT(A2,2)</f>
        <v>28</v>
      </c>
    </row>
    <row r="6" spans="1:22">
      <c r="A6" s="3" t="s">
        <v>44</v>
      </c>
      <c r="B6" s="3" t="s">
        <v>45</v>
      </c>
      <c r="C6" s="3" t="s">
        <v>46</v>
      </c>
      <c r="D6" s="3">
        <v>70</v>
      </c>
      <c r="E6" s="3">
        <v>20</v>
      </c>
      <c r="F6" s="3" t="s">
        <v>47</v>
      </c>
      <c r="G6" s="2" t="str">
        <f t="shared" si="0"/>
        <v>Standard Price</v>
      </c>
      <c r="H6" s="40" t="str">
        <f t="shared" si="1"/>
        <v>22</v>
      </c>
      <c r="I6" s="40" t="str">
        <f t="shared" si="2"/>
        <v>US</v>
      </c>
      <c r="J6" s="40" t="str">
        <f t="shared" si="3"/>
        <v>MAY</v>
      </c>
      <c r="K6" s="2"/>
      <c r="L6" s="2"/>
      <c r="M6" s="6">
        <v>10100</v>
      </c>
      <c r="O6" s="15">
        <f>MIN(D2:D35)</f>
        <v>30</v>
      </c>
      <c r="Q6" s="23" t="str">
        <f>IF(D3&gt;=500,"High Price",IF(D3&lt;500,"Standard Price"))</f>
        <v>Standard Price</v>
      </c>
      <c r="S6" s="24"/>
      <c r="V6" s="24"/>
    </row>
    <row r="7" spans="1:22" ht="29.25">
      <c r="A7" s="4" t="s">
        <v>48</v>
      </c>
      <c r="B7" s="4" t="s">
        <v>49</v>
      </c>
      <c r="C7" s="4" t="s">
        <v>50</v>
      </c>
      <c r="D7" s="4">
        <v>200</v>
      </c>
      <c r="E7" s="4">
        <v>45</v>
      </c>
      <c r="F7" s="4" t="s">
        <v>18</v>
      </c>
      <c r="G7" s="2" t="str">
        <f t="shared" si="0"/>
        <v>Standard Price</v>
      </c>
      <c r="H7" s="40" t="str">
        <f t="shared" si="1"/>
        <v>07</v>
      </c>
      <c r="I7" s="40" t="str">
        <f t="shared" si="2"/>
        <v>UK</v>
      </c>
      <c r="J7" s="40" t="str">
        <f t="shared" si="3"/>
        <v>JUN</v>
      </c>
      <c r="K7" s="2"/>
      <c r="L7" s="2"/>
      <c r="M7" s="5"/>
      <c r="O7" s="13"/>
      <c r="S7" s="25" t="s">
        <v>51</v>
      </c>
      <c r="V7" s="35" t="s">
        <v>52</v>
      </c>
    </row>
    <row r="8" spans="1:22" ht="29.25">
      <c r="A8" s="3" t="s">
        <v>53</v>
      </c>
      <c r="B8" s="3" t="s">
        <v>54</v>
      </c>
      <c r="C8" s="3" t="s">
        <v>55</v>
      </c>
      <c r="D8" s="3">
        <v>30</v>
      </c>
      <c r="E8" s="3">
        <v>5</v>
      </c>
      <c r="F8" s="3" t="s">
        <v>27</v>
      </c>
      <c r="G8" s="2" t="str">
        <f t="shared" si="0"/>
        <v>Standard Price</v>
      </c>
      <c r="H8" s="40" t="str">
        <f t="shared" si="1"/>
        <v>19</v>
      </c>
      <c r="I8" s="40" t="str">
        <f t="shared" si="2"/>
        <v>UK</v>
      </c>
      <c r="J8" s="40" t="str">
        <f t="shared" si="3"/>
        <v>JUL</v>
      </c>
      <c r="K8" s="2"/>
      <c r="L8" s="2"/>
      <c r="M8" s="10" t="s">
        <v>56</v>
      </c>
      <c r="O8" s="32" t="s">
        <v>57</v>
      </c>
      <c r="S8" s="28" t="s">
        <v>58</v>
      </c>
      <c r="V8" s="36" t="str">
        <f>RIGHT(A2,2)</f>
        <v>US</v>
      </c>
    </row>
    <row r="9" spans="1:22">
      <c r="A9" s="4" t="s">
        <v>59</v>
      </c>
      <c r="B9" s="4" t="s">
        <v>60</v>
      </c>
      <c r="C9" s="4" t="s">
        <v>61</v>
      </c>
      <c r="D9" s="4">
        <v>90</v>
      </c>
      <c r="E9" s="4">
        <v>35</v>
      </c>
      <c r="F9" s="4" t="s">
        <v>33</v>
      </c>
      <c r="G9" s="2" t="str">
        <f t="shared" si="0"/>
        <v>Standard Price</v>
      </c>
      <c r="H9" s="40" t="str">
        <f t="shared" si="1"/>
        <v>23</v>
      </c>
      <c r="I9" s="40" t="str">
        <f t="shared" si="2"/>
        <v>UK</v>
      </c>
      <c r="J9" s="40" t="str">
        <f t="shared" si="3"/>
        <v>AUG</v>
      </c>
      <c r="K9" s="2"/>
      <c r="L9" s="2"/>
      <c r="M9" s="8" t="s">
        <v>62</v>
      </c>
      <c r="O9" s="14" t="s">
        <v>63</v>
      </c>
      <c r="S9" s="24">
        <f>COUNTIF(D2:D35,"&lt;100")</f>
        <v>11</v>
      </c>
      <c r="V9" s="24"/>
    </row>
    <row r="10" spans="1:22" ht="15.75">
      <c r="A10" s="3" t="s">
        <v>64</v>
      </c>
      <c r="B10" s="3" t="s">
        <v>65</v>
      </c>
      <c r="C10" s="3" t="s">
        <v>66</v>
      </c>
      <c r="D10" s="3">
        <v>500</v>
      </c>
      <c r="E10" s="3">
        <v>50</v>
      </c>
      <c r="F10" s="3" t="s">
        <v>18</v>
      </c>
      <c r="G10" s="2" t="str">
        <f t="shared" si="0"/>
        <v>High Price</v>
      </c>
      <c r="H10" s="40" t="str">
        <f t="shared" si="1"/>
        <v>05</v>
      </c>
      <c r="I10" s="40" t="str">
        <f t="shared" si="2"/>
        <v>UK</v>
      </c>
      <c r="J10" s="40" t="str">
        <f t="shared" si="3"/>
        <v>SEP</v>
      </c>
      <c r="K10" s="2"/>
      <c r="L10" s="2"/>
      <c r="M10" s="7">
        <v>34</v>
      </c>
      <c r="O10" s="16">
        <f>MAX(D2:D35)</f>
        <v>1000</v>
      </c>
      <c r="V10" s="35" t="s">
        <v>67</v>
      </c>
    </row>
    <row r="11" spans="1:22">
      <c r="A11" s="4" t="s">
        <v>68</v>
      </c>
      <c r="B11" s="4" t="s">
        <v>69</v>
      </c>
      <c r="C11" s="4" t="s">
        <v>70</v>
      </c>
      <c r="D11" s="4">
        <v>130</v>
      </c>
      <c r="E11" s="4">
        <v>10</v>
      </c>
      <c r="F11" s="4" t="s">
        <v>47</v>
      </c>
      <c r="G11" s="2" t="str">
        <f t="shared" si="0"/>
        <v>Standard Price</v>
      </c>
      <c r="H11" s="40" t="str">
        <f t="shared" si="1"/>
        <v>14</v>
      </c>
      <c r="I11" s="40" t="str">
        <f t="shared" si="2"/>
        <v>UK</v>
      </c>
      <c r="J11" s="40" t="str">
        <f t="shared" si="3"/>
        <v>OCT</v>
      </c>
      <c r="K11" s="2"/>
      <c r="L11" s="2"/>
      <c r="M11" s="5"/>
      <c r="V11" s="37" t="str">
        <f>MID(A2,4,3)</f>
        <v>JAN</v>
      </c>
    </row>
    <row r="12" spans="1:22">
      <c r="A12" s="3" t="s">
        <v>71</v>
      </c>
      <c r="B12" s="3" t="s">
        <v>16</v>
      </c>
      <c r="C12" s="3" t="s">
        <v>72</v>
      </c>
      <c r="D12" s="3">
        <v>950</v>
      </c>
      <c r="E12" s="3">
        <v>25</v>
      </c>
      <c r="F12" s="3" t="s">
        <v>18</v>
      </c>
      <c r="G12" s="2" t="str">
        <f t="shared" si="0"/>
        <v>High Price</v>
      </c>
      <c r="H12" s="40" t="str">
        <f t="shared" si="1"/>
        <v>17</v>
      </c>
      <c r="I12" s="40" t="str">
        <f t="shared" si="2"/>
        <v>IN</v>
      </c>
      <c r="J12" s="40" t="str">
        <f t="shared" si="3"/>
        <v>JUN</v>
      </c>
      <c r="K12" s="2"/>
      <c r="L12" s="2"/>
      <c r="M12" s="10" t="s">
        <v>73</v>
      </c>
    </row>
    <row r="13" spans="1:22">
      <c r="A13" s="4" t="s">
        <v>74</v>
      </c>
      <c r="B13" s="4" t="s">
        <v>25</v>
      </c>
      <c r="C13" s="4" t="s">
        <v>55</v>
      </c>
      <c r="D13" s="4">
        <v>90</v>
      </c>
      <c r="E13" s="4">
        <v>40</v>
      </c>
      <c r="F13" s="4" t="s">
        <v>27</v>
      </c>
      <c r="G13" s="2" t="str">
        <f t="shared" si="0"/>
        <v>Standard Price</v>
      </c>
      <c r="H13" s="40" t="str">
        <f t="shared" si="1"/>
        <v>25</v>
      </c>
      <c r="I13" s="40" t="str">
        <f t="shared" si="2"/>
        <v>AU</v>
      </c>
      <c r="J13" s="40" t="str">
        <f t="shared" si="3"/>
        <v>NOV</v>
      </c>
      <c r="K13" s="2"/>
      <c r="L13" s="2"/>
      <c r="M13" s="8" t="s">
        <v>75</v>
      </c>
    </row>
    <row r="14" spans="1:22">
      <c r="A14" s="3" t="s">
        <v>76</v>
      </c>
      <c r="B14" s="3" t="s">
        <v>31</v>
      </c>
      <c r="C14" s="3" t="s">
        <v>77</v>
      </c>
      <c r="D14" s="3">
        <v>120</v>
      </c>
      <c r="E14" s="3">
        <v>35</v>
      </c>
      <c r="F14" s="3" t="s">
        <v>33</v>
      </c>
      <c r="G14" s="2" t="str">
        <f t="shared" si="0"/>
        <v>Standard Price</v>
      </c>
      <c r="H14" s="40" t="str">
        <f t="shared" si="1"/>
        <v>08</v>
      </c>
      <c r="I14" s="40" t="str">
        <f t="shared" si="2"/>
        <v>DE</v>
      </c>
      <c r="J14" s="40" t="str">
        <f t="shared" si="3"/>
        <v>DEC</v>
      </c>
      <c r="K14" s="2"/>
      <c r="L14" s="2"/>
      <c r="M14" s="30">
        <v>297.058823529412</v>
      </c>
    </row>
    <row r="15" spans="1:22">
      <c r="A15" s="4" t="s">
        <v>78</v>
      </c>
      <c r="B15" s="4" t="s">
        <v>79</v>
      </c>
      <c r="C15" s="4" t="s">
        <v>80</v>
      </c>
      <c r="D15" s="4">
        <v>150</v>
      </c>
      <c r="E15" s="4">
        <v>15</v>
      </c>
      <c r="F15" s="4" t="s">
        <v>18</v>
      </c>
      <c r="G15" s="2" t="str">
        <f t="shared" si="0"/>
        <v>Standard Price</v>
      </c>
      <c r="H15" s="40" t="str">
        <f t="shared" si="1"/>
        <v>18</v>
      </c>
      <c r="I15" s="40" t="str">
        <f t="shared" si="2"/>
        <v>CA</v>
      </c>
      <c r="J15" s="40" t="str">
        <f t="shared" si="3"/>
        <v>FEB</v>
      </c>
      <c r="K15" s="2"/>
      <c r="L15" s="2"/>
      <c r="M15" s="5"/>
    </row>
    <row r="16" spans="1:22">
      <c r="A16" s="3" t="s">
        <v>81</v>
      </c>
      <c r="B16" s="3" t="s">
        <v>49</v>
      </c>
      <c r="C16" s="3" t="s">
        <v>82</v>
      </c>
      <c r="D16" s="3">
        <v>250</v>
      </c>
      <c r="E16" s="3">
        <v>20</v>
      </c>
      <c r="F16" s="3" t="s">
        <v>18</v>
      </c>
      <c r="G16" s="2" t="str">
        <f t="shared" si="0"/>
        <v>Standard Price</v>
      </c>
      <c r="H16" s="40" t="str">
        <f t="shared" si="1"/>
        <v>16</v>
      </c>
      <c r="I16" s="40" t="str">
        <f t="shared" si="2"/>
        <v>ES</v>
      </c>
      <c r="J16" s="40" t="str">
        <f t="shared" si="3"/>
        <v>APR</v>
      </c>
      <c r="K16" s="2"/>
      <c r="L16" s="2"/>
      <c r="M16" s="5"/>
    </row>
    <row r="17" spans="1:13">
      <c r="A17" s="4" t="s">
        <v>83</v>
      </c>
      <c r="B17" s="4" t="s">
        <v>84</v>
      </c>
      <c r="C17" s="4" t="s">
        <v>85</v>
      </c>
      <c r="D17" s="4">
        <v>50</v>
      </c>
      <c r="E17" s="4">
        <v>35</v>
      </c>
      <c r="F17" s="4" t="s">
        <v>86</v>
      </c>
      <c r="G17" s="2" t="str">
        <f t="shared" si="0"/>
        <v>Standard Price</v>
      </c>
      <c r="H17" s="40" t="str">
        <f t="shared" si="1"/>
        <v>21</v>
      </c>
      <c r="I17" s="40" t="str">
        <f t="shared" si="2"/>
        <v>CA</v>
      </c>
      <c r="J17" s="40" t="str">
        <f t="shared" si="3"/>
        <v>AUG</v>
      </c>
      <c r="K17" s="2"/>
      <c r="L17" s="2"/>
      <c r="M17" s="5"/>
    </row>
    <row r="18" spans="1:13">
      <c r="A18" s="3" t="s">
        <v>87</v>
      </c>
      <c r="B18" s="3" t="s">
        <v>79</v>
      </c>
      <c r="C18" s="3" t="s">
        <v>88</v>
      </c>
      <c r="D18" s="3">
        <v>160</v>
      </c>
      <c r="E18" s="3">
        <v>15</v>
      </c>
      <c r="F18" s="3" t="s">
        <v>18</v>
      </c>
      <c r="G18" s="2" t="str">
        <f t="shared" si="0"/>
        <v>Standard Price</v>
      </c>
      <c r="H18" s="40" t="str">
        <f t="shared" si="1"/>
        <v>20</v>
      </c>
      <c r="I18" s="40" t="str">
        <f t="shared" si="2"/>
        <v>CN</v>
      </c>
      <c r="J18" s="40" t="str">
        <f t="shared" si="3"/>
        <v>AUG</v>
      </c>
      <c r="K18" s="2"/>
      <c r="L18" s="2"/>
      <c r="M18" s="5"/>
    </row>
    <row r="19" spans="1:13">
      <c r="A19" s="4" t="s">
        <v>89</v>
      </c>
      <c r="B19" s="4" t="s">
        <v>16</v>
      </c>
      <c r="C19" s="4" t="s">
        <v>90</v>
      </c>
      <c r="D19" s="4">
        <v>980</v>
      </c>
      <c r="E19" s="4">
        <v>10</v>
      </c>
      <c r="F19" s="4" t="s">
        <v>18</v>
      </c>
      <c r="G19" s="2" t="str">
        <f t="shared" si="0"/>
        <v>High Price</v>
      </c>
      <c r="H19" s="40" t="str">
        <f t="shared" si="1"/>
        <v>27</v>
      </c>
      <c r="I19" s="40" t="str">
        <f t="shared" si="2"/>
        <v>IT</v>
      </c>
      <c r="J19" s="40" t="str">
        <f t="shared" si="3"/>
        <v>JAN</v>
      </c>
      <c r="K19" s="2"/>
      <c r="L19" s="2"/>
      <c r="M19" s="5"/>
    </row>
    <row r="20" spans="1:13">
      <c r="A20" s="3" t="s">
        <v>91</v>
      </c>
      <c r="B20" s="3" t="s">
        <v>92</v>
      </c>
      <c r="C20" s="3" t="s">
        <v>93</v>
      </c>
      <c r="D20" s="3">
        <v>150</v>
      </c>
      <c r="E20" s="3">
        <v>15</v>
      </c>
      <c r="F20" s="3" t="s">
        <v>27</v>
      </c>
      <c r="G20" s="2" t="str">
        <f t="shared" si="0"/>
        <v>Standard Price</v>
      </c>
      <c r="H20" s="40" t="str">
        <f t="shared" si="1"/>
        <v>01</v>
      </c>
      <c r="I20" s="40" t="str">
        <f t="shared" si="2"/>
        <v>UK</v>
      </c>
      <c r="J20" s="40" t="str">
        <f t="shared" si="3"/>
        <v>MAR</v>
      </c>
      <c r="K20" s="2"/>
      <c r="L20" s="2"/>
      <c r="M20" s="5"/>
    </row>
    <row r="21" spans="1:13">
      <c r="A21" s="4" t="s">
        <v>94</v>
      </c>
      <c r="B21" s="4" t="s">
        <v>95</v>
      </c>
      <c r="C21" s="4" t="s">
        <v>96</v>
      </c>
      <c r="D21" s="4">
        <v>200</v>
      </c>
      <c r="E21" s="4">
        <v>10</v>
      </c>
      <c r="F21" s="4" t="s">
        <v>47</v>
      </c>
      <c r="G21" s="2" t="str">
        <f t="shared" si="0"/>
        <v>Standard Price</v>
      </c>
      <c r="H21" s="40" t="str">
        <f t="shared" si="1"/>
        <v>14</v>
      </c>
      <c r="I21" s="40" t="str">
        <f t="shared" si="2"/>
        <v>US</v>
      </c>
      <c r="J21" s="40" t="str">
        <f t="shared" si="3"/>
        <v>AUG</v>
      </c>
      <c r="K21" s="2"/>
      <c r="L21" s="2"/>
      <c r="M21" s="5"/>
    </row>
    <row r="22" spans="1:13">
      <c r="A22" s="3" t="s">
        <v>97</v>
      </c>
      <c r="B22" s="3" t="s">
        <v>98</v>
      </c>
      <c r="C22" s="3" t="s">
        <v>99</v>
      </c>
      <c r="D22" s="3">
        <v>700</v>
      </c>
      <c r="E22" s="3">
        <v>50</v>
      </c>
      <c r="F22" s="3" t="s">
        <v>18</v>
      </c>
      <c r="G22" s="2" t="str">
        <f t="shared" si="0"/>
        <v>High Price</v>
      </c>
      <c r="H22" s="40" t="str">
        <f t="shared" si="1"/>
        <v>14</v>
      </c>
      <c r="I22" s="40" t="str">
        <f t="shared" si="2"/>
        <v>RU</v>
      </c>
      <c r="J22" s="40" t="str">
        <f t="shared" si="3"/>
        <v>MAY</v>
      </c>
      <c r="K22" s="2"/>
      <c r="L22" s="2"/>
      <c r="M22" s="5"/>
    </row>
    <row r="23" spans="1:13">
      <c r="A23" s="4" t="s">
        <v>100</v>
      </c>
      <c r="B23" s="4" t="s">
        <v>101</v>
      </c>
      <c r="C23" s="4" t="s">
        <v>102</v>
      </c>
      <c r="D23" s="4">
        <v>80</v>
      </c>
      <c r="E23" s="4">
        <v>20</v>
      </c>
      <c r="F23" s="4" t="s">
        <v>33</v>
      </c>
      <c r="G23" s="2" t="str">
        <f t="shared" si="0"/>
        <v>Standard Price</v>
      </c>
      <c r="H23" s="40" t="str">
        <f t="shared" si="1"/>
        <v>09</v>
      </c>
      <c r="I23" s="40" t="str">
        <f t="shared" si="2"/>
        <v>CA</v>
      </c>
      <c r="J23" s="40" t="str">
        <f t="shared" si="3"/>
        <v>JAN</v>
      </c>
      <c r="K23" s="2"/>
      <c r="L23" s="2"/>
      <c r="M23" s="5"/>
    </row>
    <row r="24" spans="1:13">
      <c r="A24" s="3" t="s">
        <v>103</v>
      </c>
      <c r="B24" s="3" t="s">
        <v>104</v>
      </c>
      <c r="C24" s="3" t="s">
        <v>105</v>
      </c>
      <c r="D24" s="3">
        <v>150</v>
      </c>
      <c r="E24" s="3">
        <v>30</v>
      </c>
      <c r="F24" s="3" t="s">
        <v>18</v>
      </c>
      <c r="G24" s="2" t="str">
        <f t="shared" si="0"/>
        <v>Standard Price</v>
      </c>
      <c r="H24" s="40" t="str">
        <f t="shared" si="1"/>
        <v>19</v>
      </c>
      <c r="I24" s="40" t="str">
        <f t="shared" si="2"/>
        <v>BR</v>
      </c>
      <c r="J24" s="40" t="str">
        <f t="shared" si="3"/>
        <v>JUL</v>
      </c>
      <c r="K24" s="2"/>
      <c r="L24" s="2"/>
      <c r="M24" s="5"/>
    </row>
    <row r="25" spans="1:13">
      <c r="A25" s="4" t="s">
        <v>83</v>
      </c>
      <c r="B25" s="4" t="s">
        <v>84</v>
      </c>
      <c r="C25" s="4" t="s">
        <v>85</v>
      </c>
      <c r="D25" s="4">
        <v>50</v>
      </c>
      <c r="E25" s="4">
        <v>35</v>
      </c>
      <c r="F25" s="4" t="s">
        <v>86</v>
      </c>
      <c r="G25" s="2" t="str">
        <f t="shared" si="0"/>
        <v>Standard Price</v>
      </c>
      <c r="H25" s="40" t="str">
        <f t="shared" si="1"/>
        <v>21</v>
      </c>
      <c r="I25" s="40" t="str">
        <f t="shared" si="2"/>
        <v>CA</v>
      </c>
      <c r="J25" s="40" t="str">
        <f t="shared" si="3"/>
        <v>AUG</v>
      </c>
      <c r="K25" s="2"/>
      <c r="L25" s="2"/>
      <c r="M25" s="5"/>
    </row>
    <row r="26" spans="1:13">
      <c r="A26" s="3" t="s">
        <v>106</v>
      </c>
      <c r="B26" s="3" t="s">
        <v>40</v>
      </c>
      <c r="C26" s="3" t="s">
        <v>107</v>
      </c>
      <c r="D26" s="3">
        <v>800</v>
      </c>
      <c r="E26" s="3">
        <v>45</v>
      </c>
      <c r="F26" s="3" t="s">
        <v>18</v>
      </c>
      <c r="G26" s="2" t="str">
        <f t="shared" si="0"/>
        <v>High Price</v>
      </c>
      <c r="H26" s="40" t="str">
        <f t="shared" si="1"/>
        <v>29</v>
      </c>
      <c r="I26" s="40" t="str">
        <f t="shared" si="2"/>
        <v>CA</v>
      </c>
      <c r="J26" s="40" t="str">
        <f t="shared" si="3"/>
        <v>SEP</v>
      </c>
      <c r="K26" s="2"/>
      <c r="L26" s="2"/>
      <c r="M26" s="5"/>
    </row>
    <row r="27" spans="1:13">
      <c r="A27" s="4" t="s">
        <v>108</v>
      </c>
      <c r="B27" s="4" t="s">
        <v>92</v>
      </c>
      <c r="C27" s="4" t="s">
        <v>109</v>
      </c>
      <c r="D27" s="4">
        <v>130</v>
      </c>
      <c r="E27" s="4">
        <v>25</v>
      </c>
      <c r="F27" s="4" t="s">
        <v>27</v>
      </c>
      <c r="G27" s="2" t="str">
        <f t="shared" si="0"/>
        <v>Standard Price</v>
      </c>
      <c r="H27" s="40" t="str">
        <f t="shared" si="1"/>
        <v>03</v>
      </c>
      <c r="I27" s="40" t="str">
        <f t="shared" si="2"/>
        <v>CA</v>
      </c>
      <c r="J27" s="40" t="str">
        <f t="shared" si="3"/>
        <v>JUN</v>
      </c>
      <c r="K27" s="2"/>
      <c r="L27" s="2"/>
      <c r="M27" s="5"/>
    </row>
    <row r="28" spans="1:13">
      <c r="A28" s="3" t="s">
        <v>110</v>
      </c>
      <c r="B28" s="3" t="s">
        <v>60</v>
      </c>
      <c r="C28" s="3" t="s">
        <v>111</v>
      </c>
      <c r="D28" s="3">
        <v>400</v>
      </c>
      <c r="E28" s="3">
        <v>40</v>
      </c>
      <c r="F28" s="3" t="s">
        <v>33</v>
      </c>
      <c r="G28" s="2" t="str">
        <f t="shared" si="0"/>
        <v>Standard Price</v>
      </c>
      <c r="H28" s="40" t="str">
        <f t="shared" si="1"/>
        <v>11</v>
      </c>
      <c r="I28" s="40" t="str">
        <f t="shared" si="2"/>
        <v>CA</v>
      </c>
      <c r="J28" s="40" t="str">
        <f t="shared" si="3"/>
        <v>JUL</v>
      </c>
      <c r="K28" s="2"/>
      <c r="L28" s="2"/>
      <c r="M28" s="5"/>
    </row>
    <row r="29" spans="1:13">
      <c r="A29" s="4" t="s">
        <v>81</v>
      </c>
      <c r="B29" s="4" t="s">
        <v>49</v>
      </c>
      <c r="C29" s="4" t="s">
        <v>82</v>
      </c>
      <c r="D29" s="4">
        <v>230</v>
      </c>
      <c r="E29" s="4">
        <v>20</v>
      </c>
      <c r="F29" s="4" t="s">
        <v>18</v>
      </c>
      <c r="G29" s="2" t="str">
        <f t="shared" si="0"/>
        <v>Standard Price</v>
      </c>
      <c r="H29" s="40" t="str">
        <f t="shared" si="1"/>
        <v>16</v>
      </c>
      <c r="I29" s="40" t="str">
        <f t="shared" si="2"/>
        <v>ES</v>
      </c>
      <c r="J29" s="40" t="str">
        <f t="shared" si="3"/>
        <v>APR</v>
      </c>
      <c r="K29" s="2"/>
      <c r="L29" s="2"/>
      <c r="M29" s="5"/>
    </row>
    <row r="30" spans="1:13">
      <c r="A30" s="3" t="s">
        <v>112</v>
      </c>
      <c r="B30" s="3" t="s">
        <v>113</v>
      </c>
      <c r="C30" s="3" t="s">
        <v>114</v>
      </c>
      <c r="D30" s="3">
        <v>60</v>
      </c>
      <c r="E30" s="3">
        <v>30</v>
      </c>
      <c r="F30" s="3" t="s">
        <v>27</v>
      </c>
      <c r="G30" s="2" t="str">
        <f t="shared" si="0"/>
        <v>Standard Price</v>
      </c>
      <c r="H30" s="40" t="str">
        <f t="shared" si="1"/>
        <v>07</v>
      </c>
      <c r="I30" s="40" t="str">
        <f t="shared" si="2"/>
        <v>CA</v>
      </c>
      <c r="J30" s="40" t="str">
        <f t="shared" si="3"/>
        <v>MAR</v>
      </c>
      <c r="K30" s="2"/>
      <c r="L30" s="2"/>
      <c r="M30" s="5"/>
    </row>
    <row r="31" spans="1:13">
      <c r="A31" s="4" t="s">
        <v>115</v>
      </c>
      <c r="B31" s="4" t="s">
        <v>116</v>
      </c>
      <c r="C31" s="4" t="s">
        <v>117</v>
      </c>
      <c r="D31" s="4">
        <v>40</v>
      </c>
      <c r="E31" s="4">
        <v>10</v>
      </c>
      <c r="F31" s="4" t="s">
        <v>33</v>
      </c>
      <c r="G31" s="2" t="str">
        <f t="shared" si="0"/>
        <v>Standard Price</v>
      </c>
      <c r="H31" s="40" t="str">
        <f t="shared" si="1"/>
        <v>13</v>
      </c>
      <c r="I31" s="40" t="str">
        <f t="shared" si="2"/>
        <v>CA</v>
      </c>
      <c r="J31" s="40" t="str">
        <f t="shared" si="3"/>
        <v>APR</v>
      </c>
      <c r="K31" s="2"/>
      <c r="L31" s="2"/>
      <c r="M31" s="5"/>
    </row>
    <row r="32" spans="1:13">
      <c r="A32" s="3" t="s">
        <v>118</v>
      </c>
      <c r="B32" s="3" t="s">
        <v>104</v>
      </c>
      <c r="C32" s="3" t="s">
        <v>119</v>
      </c>
      <c r="D32" s="3">
        <v>130</v>
      </c>
      <c r="E32" s="3">
        <v>5</v>
      </c>
      <c r="F32" s="3" t="s">
        <v>18</v>
      </c>
      <c r="G32" s="2" t="str">
        <f t="shared" si="0"/>
        <v>Standard Price</v>
      </c>
      <c r="H32" s="40" t="str">
        <f t="shared" si="1"/>
        <v>24</v>
      </c>
      <c r="I32" s="40" t="str">
        <f t="shared" si="2"/>
        <v>CA</v>
      </c>
      <c r="J32" s="40" t="str">
        <f t="shared" si="3"/>
        <v>MAY</v>
      </c>
      <c r="K32" s="2"/>
      <c r="L32" s="2"/>
      <c r="M32" s="5"/>
    </row>
    <row r="33" spans="1:13">
      <c r="A33" s="4" t="s">
        <v>120</v>
      </c>
      <c r="B33" s="4" t="s">
        <v>121</v>
      </c>
      <c r="C33" s="4" t="s">
        <v>122</v>
      </c>
      <c r="D33" s="4">
        <v>50</v>
      </c>
      <c r="E33" s="4">
        <v>50</v>
      </c>
      <c r="F33" s="4" t="s">
        <v>27</v>
      </c>
      <c r="G33" s="2" t="str">
        <f t="shared" si="0"/>
        <v>Standard Price</v>
      </c>
      <c r="H33" s="40" t="str">
        <f t="shared" si="1"/>
        <v>02</v>
      </c>
      <c r="I33" s="40" t="str">
        <f t="shared" si="2"/>
        <v>CA</v>
      </c>
      <c r="J33" s="40" t="str">
        <f t="shared" si="3"/>
        <v>DEC</v>
      </c>
      <c r="K33" s="2"/>
      <c r="L33" s="2"/>
      <c r="M33" s="5"/>
    </row>
    <row r="34" spans="1:13">
      <c r="A34" s="3" t="s">
        <v>71</v>
      </c>
      <c r="B34" s="3" t="s">
        <v>16</v>
      </c>
      <c r="C34" s="3" t="s">
        <v>72</v>
      </c>
      <c r="D34" s="3">
        <v>950</v>
      </c>
      <c r="E34" s="3">
        <v>25</v>
      </c>
      <c r="F34" s="3" t="s">
        <v>18</v>
      </c>
      <c r="G34" s="2" t="str">
        <f t="shared" si="0"/>
        <v>High Price</v>
      </c>
      <c r="H34" s="40" t="str">
        <f t="shared" si="1"/>
        <v>17</v>
      </c>
      <c r="I34" s="40" t="str">
        <f t="shared" si="2"/>
        <v>IN</v>
      </c>
      <c r="J34" s="40" t="str">
        <f t="shared" si="3"/>
        <v>JUN</v>
      </c>
      <c r="K34" s="2"/>
      <c r="L34" s="2"/>
      <c r="M34" s="5"/>
    </row>
    <row r="35" spans="1:13">
      <c r="A35" s="4" t="s">
        <v>123</v>
      </c>
      <c r="B35" s="4" t="s">
        <v>124</v>
      </c>
      <c r="C35" s="4" t="s">
        <v>125</v>
      </c>
      <c r="D35" s="4">
        <v>100</v>
      </c>
      <c r="E35" s="4">
        <v>20</v>
      </c>
      <c r="F35" s="4" t="s">
        <v>86</v>
      </c>
      <c r="G35" s="2" t="str">
        <f t="shared" si="0"/>
        <v>Standard Price</v>
      </c>
      <c r="H35" s="40" t="str">
        <f t="shared" si="1"/>
        <v>09</v>
      </c>
      <c r="I35" s="40" t="str">
        <f t="shared" si="2"/>
        <v>FR</v>
      </c>
      <c r="J35" s="40" t="str">
        <f t="shared" si="3"/>
        <v>JUL</v>
      </c>
      <c r="K35" s="2"/>
      <c r="L35" s="2"/>
      <c r="M35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2026-05-20T05:42:39Z</dcterms:created>
  <dcterms:modified xsi:type="dcterms:W3CDTF">2026-05-21T05:39:02Z</dcterms:modified>
  <cp:category/>
  <cp:contentStatus/>
</cp:coreProperties>
</file>